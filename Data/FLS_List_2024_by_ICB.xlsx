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lthsharedservice-my.sharepoint.com/personal/anne_foulger_dhsc_gov_uk/Documents/repos/FLS_mapping/Data/"/>
    </mc:Choice>
  </mc:AlternateContent>
  <xr:revisionPtr revIDLastSave="0" documentId="8_{B940D66B-A1CB-4C46-B9AD-D3EFE8A42127}" xr6:coauthVersionLast="47" xr6:coauthVersionMax="47" xr10:uidLastSave="{00000000-0000-0000-0000-000000000000}"/>
  <bookViews>
    <workbookView xWindow="-110" yWindow="-110" windowWidth="19420" windowHeight="10300" activeTab="1" xr2:uid="{F6060725-73FF-4153-8D8E-5F3ECF97C632}"/>
  </bookViews>
  <sheets>
    <sheet name="FLS_List_2024" sheetId="1" r:id="rId1"/>
    <sheet name="ICB lookup" sheetId="2" r:id="rId2"/>
  </sheets>
  <definedNames>
    <definedName name="_xlnm._FilterDatabase" localSheetId="0" hidden="1">FLS_List_2024!$A$1:$E$74</definedName>
    <definedName name="_xlnm._FilterDatabase" localSheetId="1" hidden="1">'ICB lookup'!$A$1:$C$43</definedName>
  </definedNames>
  <calcPr calcId="0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2" i="1"/>
</calcChain>
</file>

<file path=xl/sharedStrings.xml><?xml version="1.0" encoding="utf-8"?>
<sst xmlns="http://schemas.openxmlformats.org/spreadsheetml/2006/main" count="386" uniqueCount="283">
  <si>
    <t>FLS Service/Unit</t>
  </si>
  <si>
    <t>NHS Trust</t>
  </si>
  <si>
    <t>Airedale NHS Foundation Trust</t>
  </si>
  <si>
    <t>Ashford and St. Peter's Hospitals NHS Foundation Trust</t>
  </si>
  <si>
    <t>Ashford and St Peter’s Hospitals NHS Foundation Trust</t>
  </si>
  <si>
    <t>Barking Havering and Redbridge University Hospital Hospitals Trust</t>
  </si>
  <si>
    <t>Barking, Havering and Redbridge University Hospitals NHS Trust</t>
  </si>
  <si>
    <t>Barnet Hospital</t>
  </si>
  <si>
    <t>Royal Free London NHS Foundation Trust</t>
  </si>
  <si>
    <t>Basildon and Thurrock Hospital</t>
  </si>
  <si>
    <t>Mid and South Essex NHS Foundation Trust</t>
  </si>
  <si>
    <t>Bedford Hospital</t>
  </si>
  <si>
    <t>Bedfordshire Hospitals NHS Foundation Trust</t>
  </si>
  <si>
    <t>Bradford Teaching Hospitals Foundation Trust</t>
  </si>
  <si>
    <t>Bradford Teaching Hospitals NHS Foundation Trust</t>
  </si>
  <si>
    <t>Broomfield Hospital</t>
  </si>
  <si>
    <t>Buckinghamshire Healthcare NHS Trust</t>
  </si>
  <si>
    <t>Cambridge University Hospitals NHS Foundation Trust FLS</t>
  </si>
  <si>
    <t>Cambridge University Hospitals NHS Foundation Trust</t>
  </si>
  <si>
    <t>Chelsea and Westminster Hospital NHS Foundation Trust</t>
  </si>
  <si>
    <t>Chesterfield Hospital NHS Foundation Trust</t>
  </si>
  <si>
    <t>Chesterfield Royal Hospital NHS Foundation Trust</t>
  </si>
  <si>
    <t>Croydon University Hospital</t>
  </si>
  <si>
    <t>Croydon Health Services NHS Trust</t>
  </si>
  <si>
    <t>Diana Princess of Wales Hospital</t>
  </si>
  <si>
    <t>Northern Lincolnshire and Goole NHS Foundation Trust</t>
  </si>
  <si>
    <t>Dorset County Hospital</t>
  </si>
  <si>
    <t>Dorset County Hospital NHS Foundation Trust</t>
  </si>
  <si>
    <t>Ealing Hospital</t>
  </si>
  <si>
    <t>West London NHS Trust</t>
  </si>
  <si>
    <t>East Kent Hospitals University NHS Foundation Trust</t>
  </si>
  <si>
    <t>East Lancashire Hospitals NHS Trust</t>
  </si>
  <si>
    <t>East Surrey Hospital</t>
  </si>
  <si>
    <t>Surrey and Sussex Healthcare NHS Trust</t>
  </si>
  <si>
    <t>East Sussex Healthcare</t>
  </si>
  <si>
    <t>East Sussex Healthcare NHS Trust</t>
  </si>
  <si>
    <t>Enfield Bone Health and Fracture Liaison</t>
  </si>
  <si>
    <t>North Middlesex University Hospital NHS Trust</t>
  </si>
  <si>
    <t>Epsom &amp; St Helier University Hospitals NHS Trust</t>
  </si>
  <si>
    <t>Epsom and St Helier University Hospitals NHS Trust</t>
  </si>
  <si>
    <t>Guys and St Thomas' NHS Foundation Trust</t>
  </si>
  <si>
    <t>Guy’s and St Thomas’ NHS Foundation Trust</t>
  </si>
  <si>
    <t>Hull and East Riding FLS</t>
  </si>
  <si>
    <t>Hull University Teaching Hospitals NHS Trust</t>
  </si>
  <si>
    <t>Imperial College Healthcare NHS Trust</t>
  </si>
  <si>
    <t>James Cook University Hospital</t>
  </si>
  <si>
    <t>South Tees Hospitals NHS Foundation Trust</t>
  </si>
  <si>
    <t>James Paget Hospital</t>
  </si>
  <si>
    <t>James Paget University Hospitals NHS Foundation Trust</t>
  </si>
  <si>
    <t>King's College Hospital - Denmark Hill Site</t>
  </si>
  <si>
    <t>King’s College Hospital NHS Foundation Trust</t>
  </si>
  <si>
    <t>Medway NHS Foundation Trust</t>
  </si>
  <si>
    <t>Milton Keynes University Hospital Foundation Trust</t>
  </si>
  <si>
    <t>Milton Keynes University Hospital NHS Foundation Trust</t>
  </si>
  <si>
    <t>Musgrove Park Hospital</t>
  </si>
  <si>
    <t>Somerset NHS Foundation Trust</t>
  </si>
  <si>
    <t>North Bristol NHS Trust</t>
  </si>
  <si>
    <t>North Tees and Hartlepool NHS Foundation Trust</t>
  </si>
  <si>
    <t>North West Anglia NHS Foundation Trust</t>
  </si>
  <si>
    <t>Northern Care Alliance - Bury Community Services</t>
  </si>
  <si>
    <t>Northern Care Alliance NHS Foundation Trust</t>
  </si>
  <si>
    <t>Northwick Park Hospital</t>
  </si>
  <si>
    <t>London North West University Healthcare NHS Trust</t>
  </si>
  <si>
    <t>Nottingham FLS</t>
  </si>
  <si>
    <t>Nottingham University Hospitals NHS Trust</t>
  </si>
  <si>
    <t>Oxfordshire Fracture Prevention Service</t>
  </si>
  <si>
    <t>Oxford University Hospitals NHS Foundation Trust</t>
  </si>
  <si>
    <t>Pennine Musculoskeletal Partnership Ltd</t>
  </si>
  <si>
    <t>Pennine Care NHS Foundation Trust</t>
  </si>
  <si>
    <t>Poole Hospital NHS Foundation Trust</t>
  </si>
  <si>
    <t>University Hospitals Dorset NHS Foundation Trust</t>
  </si>
  <si>
    <t>Portsmouth &amp; Southeast Hampshire</t>
  </si>
  <si>
    <t>Portsmouth Hospitals University NHS Trust</t>
  </si>
  <si>
    <t>Queen Elizabeth Hospital Lewisham</t>
  </si>
  <si>
    <t>Lewisham and Greenwich NHS Trust</t>
  </si>
  <si>
    <t>Royal Berkshire FLS</t>
  </si>
  <si>
    <t>Royal Berkshire NHS Foundation Trust</t>
  </si>
  <si>
    <t>Royal Cornwall Hospital</t>
  </si>
  <si>
    <t>Royal Cornwall Hospitals NHS Trust</t>
  </si>
  <si>
    <t>Royal Derby Hospital</t>
  </si>
  <si>
    <t>University Hospitals of Derby and Burton NHS Foundation Trust</t>
  </si>
  <si>
    <t>Royal Surrey County Hospital</t>
  </si>
  <si>
    <t>Royal Surrey NHS Foundation Trust</t>
  </si>
  <si>
    <t>Royal United Hospital</t>
  </si>
  <si>
    <t>Royal United Hospitals Bath NHS Foundation Trust</t>
  </si>
  <si>
    <t>Royal Wolverhampton Hospital NHS Trust</t>
  </si>
  <si>
    <t>The Royal Wolverhampton NHS Trust</t>
  </si>
  <si>
    <t>Salford Royal NHS Foundation Trust</t>
  </si>
  <si>
    <t>Sherwood Forest Hospitals</t>
  </si>
  <si>
    <t>Sherwood Forest Hospitals NHS Foundation Trust</t>
  </si>
  <si>
    <t>Shrewsbury and Telford Hospital NHS Trust</t>
  </si>
  <si>
    <t>Southend Hospital</t>
  </si>
  <si>
    <t>St George's Hospital</t>
  </si>
  <si>
    <t>St George’s University Hospitals NHS Foundation Trust</t>
  </si>
  <si>
    <t>Stockport FLS</t>
  </si>
  <si>
    <t>Stockport NHS Foundation Trust</t>
  </si>
  <si>
    <t>Sunderland Royal Hospital</t>
  </si>
  <si>
    <t>South Tyneside and Sunderland NHS Foundation Trust</t>
  </si>
  <si>
    <t>The Haywood Hospital Burslem Stoke on Trent</t>
  </si>
  <si>
    <t>Midlands Partnership University NHS Foundation Trust</t>
  </si>
  <si>
    <t>The Hillingdon Hospitals NHS Foundation Trust</t>
  </si>
  <si>
    <t>The Ipswich Hospital NHS Trust</t>
  </si>
  <si>
    <t>East Suffolk and North Essex NHS Foundation Trust</t>
  </si>
  <si>
    <t>The Northumbria Hospital (NSECH)</t>
  </si>
  <si>
    <t>Northumbria Healthcare NHS Foundation Trust</t>
  </si>
  <si>
    <t>The Queen Elizabeth Hospital King's Lynn NHS Foundation Trust</t>
  </si>
  <si>
    <t>The Queen Elizabeth Hospital, King’s Lynn, NHS Foundation Trust</t>
  </si>
  <si>
    <t>The Rotherham NHS Foundation Trust</t>
  </si>
  <si>
    <t>University Hospital Lewisham</t>
  </si>
  <si>
    <t>University Hospital North Durham &amp; Darlington Memorial Hospital</t>
  </si>
  <si>
    <t>County Durham and Darlington NHS Foundation Trust</t>
  </si>
  <si>
    <t>University Hospitals Birmingham NHS Foundation Trust</t>
  </si>
  <si>
    <t>University Hospitals Bristol NHS Foundation Trust</t>
  </si>
  <si>
    <t>University Hospitals Bristol and Weston NHS Foundation Trust</t>
  </si>
  <si>
    <t>University Hospitals Southampton NHS Foundation Trust</t>
  </si>
  <si>
    <t>University Hospital Southampton NHS Foundation Trust</t>
  </si>
  <si>
    <t>Walsall Healthcare</t>
  </si>
  <si>
    <t>Walsall Healthcare NHS Trust</t>
  </si>
  <si>
    <t>West Middlesex hospital</t>
  </si>
  <si>
    <t>West Suffolk NHS Foundation Trust</t>
  </si>
  <si>
    <t>Weston General Hospital</t>
  </si>
  <si>
    <t>Wrightington Wigan and Leigh NHS Foundation Trust</t>
  </si>
  <si>
    <t>Wrightington, Wigan and Leigh NHS Foundation Trust</t>
  </si>
  <si>
    <t>Wye Valley NHS Trust</t>
  </si>
  <si>
    <t>Yeovil Hospital</t>
  </si>
  <si>
    <t>NHS Trust UPPER CASE</t>
  </si>
  <si>
    <t>ICB code</t>
  </si>
  <si>
    <t>QXU</t>
  </si>
  <si>
    <t>QKK</t>
  </si>
  <si>
    <t>QWE</t>
  </si>
  <si>
    <t>QMM</t>
  </si>
  <si>
    <t>QOC</t>
  </si>
  <si>
    <t>QOP</t>
  </si>
  <si>
    <t>ICB Name</t>
  </si>
  <si>
    <t>NHS Trust code</t>
  </si>
  <si>
    <t>RTK</t>
  </si>
  <si>
    <t>RJ1</t>
  </si>
  <si>
    <t>RJZ</t>
  </si>
  <si>
    <t>RJ7</t>
  </si>
  <si>
    <t>RCX</t>
  </si>
  <si>
    <t>RXW</t>
  </si>
  <si>
    <t>RRF</t>
  </si>
  <si>
    <t>RCF</t>
  </si>
  <si>
    <t>QWO</t>
  </si>
  <si>
    <t>RF4</t>
  </si>
  <si>
    <t>QMF</t>
  </si>
  <si>
    <t>RAL</t>
  </si>
  <si>
    <t>QMJ</t>
  </si>
  <si>
    <t>RAJ</t>
  </si>
  <si>
    <t>QH8</t>
  </si>
  <si>
    <t>RC9</t>
  </si>
  <si>
    <t>QHG</t>
  </si>
  <si>
    <t>RAE</t>
  </si>
  <si>
    <t>RXQ</t>
  </si>
  <si>
    <t>QU9</t>
  </si>
  <si>
    <t>RGT</t>
  </si>
  <si>
    <t>QUE</t>
  </si>
  <si>
    <t>RQM</t>
  </si>
  <si>
    <t>QRV</t>
  </si>
  <si>
    <t>RFS</t>
  </si>
  <si>
    <t>QJ2</t>
  </si>
  <si>
    <t>RJ6</t>
  </si>
  <si>
    <t>RJL</t>
  </si>
  <si>
    <t>QOQ</t>
  </si>
  <si>
    <t>RBD</t>
  </si>
  <si>
    <t>QVV</t>
  </si>
  <si>
    <t>RKL</t>
  </si>
  <si>
    <t>RVV</t>
  </si>
  <si>
    <t>QKS</t>
  </si>
  <si>
    <t>RXR</t>
  </si>
  <si>
    <t>QE1</t>
  </si>
  <si>
    <t>RTP</t>
  </si>
  <si>
    <t>RXC</t>
  </si>
  <si>
    <t>QNX</t>
  </si>
  <si>
    <t>RAP</t>
  </si>
  <si>
    <t>RVR</t>
  </si>
  <si>
    <t>RWA</t>
  </si>
  <si>
    <t>RYJ</t>
  </si>
  <si>
    <t>RTR</t>
  </si>
  <si>
    <t>QHM</t>
  </si>
  <si>
    <t>RGP</t>
  </si>
  <si>
    <t>RPA</t>
  </si>
  <si>
    <t>RD8</t>
  </si>
  <si>
    <t>RH5</t>
  </si>
  <si>
    <t>QSL</t>
  </si>
  <si>
    <t>RVJ</t>
  </si>
  <si>
    <t>QUY</t>
  </si>
  <si>
    <t>RVW</t>
  </si>
  <si>
    <t>RGN</t>
  </si>
  <si>
    <t>RM3</t>
  </si>
  <si>
    <t>R1K</t>
  </si>
  <si>
    <t>RX1</t>
  </si>
  <si>
    <t>QT1</t>
  </si>
  <si>
    <t>RTH</t>
  </si>
  <si>
    <t>RT2</t>
  </si>
  <si>
    <t>R0D</t>
  </si>
  <si>
    <t>RHU</t>
  </si>
  <si>
    <t>QRL</t>
  </si>
  <si>
    <t>RJ2</t>
  </si>
  <si>
    <t>RHW</t>
  </si>
  <si>
    <t>REF</t>
  </si>
  <si>
    <t>QT6</t>
  </si>
  <si>
    <t>RTG</t>
  </si>
  <si>
    <t>RA2</t>
  </si>
  <si>
    <t>RD1</t>
  </si>
  <si>
    <t>QOX</t>
  </si>
  <si>
    <t>RL4</t>
  </si>
  <si>
    <t>QUA</t>
  </si>
  <si>
    <t>RK5</t>
  </si>
  <si>
    <t>RWJ</t>
  </si>
  <si>
    <t>R0B</t>
  </si>
  <si>
    <t>RRE</t>
  </si>
  <si>
    <t>QNC</t>
  </si>
  <si>
    <t>RAS</t>
  </si>
  <si>
    <t>RDE</t>
  </si>
  <si>
    <t>QJG</t>
  </si>
  <si>
    <t>RTF</t>
  </si>
  <si>
    <t>RFR</t>
  </si>
  <si>
    <t>QF7</t>
  </si>
  <si>
    <t>RXP</t>
  </si>
  <si>
    <t>RRK</t>
  </si>
  <si>
    <t>QHL</t>
  </si>
  <si>
    <t>RA7</t>
  </si>
  <si>
    <t>RHM</t>
  </si>
  <si>
    <t>RBK</t>
  </si>
  <si>
    <t>RGR</t>
  </si>
  <si>
    <t>RLQ</t>
  </si>
  <si>
    <t>QGH</t>
  </si>
  <si>
    <t>High Level Health Geography</t>
  </si>
  <si>
    <t>QYG</t>
  </si>
  <si>
    <t>QK1</t>
  </si>
  <si>
    <t>QM7</t>
  </si>
  <si>
    <t>QR1</t>
  </si>
  <si>
    <t>QJK</t>
  </si>
  <si>
    <t>QJM</t>
  </si>
  <si>
    <t>QPM</t>
  </si>
  <si>
    <t>QWU</t>
  </si>
  <si>
    <t>QNQ</t>
  </si>
  <si>
    <t>NHS NORTH WEST LONDON ICB</t>
  </si>
  <si>
    <t>NHS LANCASHIRE AND SOUTH CUMBRIA ICB</t>
  </si>
  <si>
    <t>NHS SOUTH YORKSHIRE ICB</t>
  </si>
  <si>
    <t>NHS HEREFORDSHIRE AND WORCESTERSHIRE ICB</t>
  </si>
  <si>
    <t>NHS MID AND SOUTH ESSEX ICB</t>
  </si>
  <si>
    <t>NHS BEDFORDSHIRE, LUTON AND MILTON KEYNES ICB</t>
  </si>
  <si>
    <t>NHS BIRMINGHAM AND SOLIHULL ICB</t>
  </si>
  <si>
    <t>NHS NORTH EAST AND NORTH CUMBRIA ICB</t>
  </si>
  <si>
    <t>NHS DERBY AND DERBYSHIRE ICB</t>
  </si>
  <si>
    <t>NHS SUFFOLK AND NORTH EAST ESSEX ICB</t>
  </si>
  <si>
    <t>NHS DEVON ICB</t>
  </si>
  <si>
    <t>NHS LINCOLNSHIRE ICB</t>
  </si>
  <si>
    <t>NHS LEICESTER, LEICESTERSHIRE AND RUTLAND ICB</t>
  </si>
  <si>
    <t>NHS SOUTH EAST LONDON ICB</t>
  </si>
  <si>
    <t>NHS KENT AND MEDWAY ICB</t>
  </si>
  <si>
    <t>NHS HERTFORDSHIRE AND WEST ESSEX ICB</t>
  </si>
  <si>
    <t>NHS NORTH EAST LONDON ICB</t>
  </si>
  <si>
    <t>NHS NORTH CENTRAL LONDON ICB</t>
  </si>
  <si>
    <t>NHS NORFOLK AND WAVENEY ICB</t>
  </si>
  <si>
    <t>NHS STAFFORDSHIRE AND STOKE-ON-TRENT ICB</t>
  </si>
  <si>
    <t>NHS FRIMLEY ICB</t>
  </si>
  <si>
    <t>NHS SUSSEX ICB</t>
  </si>
  <si>
    <t>NHS SHROPSHIRE, TELFORD AND WREKIN ICB</t>
  </si>
  <si>
    <t>NHS GREATER MANCHESTER ICB</t>
  </si>
  <si>
    <t>NHS HUMBER AND NORTH YORKSHIRE ICB</t>
  </si>
  <si>
    <t>NHS BATH AND NORTH EAST SOMERSET, SWINDON AND WILTSHIRE ICB</t>
  </si>
  <si>
    <t>NHS NORTHAMPTONSHIRE ICB</t>
  </si>
  <si>
    <t>NHS GLOUCESTERSHIRE ICB</t>
  </si>
  <si>
    <t>NHS HAMPSHIRE AND ISLE OF WIGHT ICB</t>
  </si>
  <si>
    <t>NHS SOMERSET ICB</t>
  </si>
  <si>
    <t>NHS NOTTINGHAM AND NOTTINGHAMSHIRE ICB</t>
  </si>
  <si>
    <t>NHS CORNWALL AND THE ISLES OF SCILLY ICB</t>
  </si>
  <si>
    <t>NHS BUCKINGHAMSHIRE, OXFORDSHIRE AND BERKSHIRE WEST ICB</t>
  </si>
  <si>
    <t>NHS BLACK COUNTRY ICB</t>
  </si>
  <si>
    <t>NHS CAMBRIDGESHIRE AND PETERBOROUGH ICB</t>
  </si>
  <si>
    <t>NHS BRISTOL, NORTH SOMERSET AND SOUTH GLOUCESTERSHIRE ICB</t>
  </si>
  <si>
    <t>NHS DORSET ICB</t>
  </si>
  <si>
    <t>NHS SOUTH WEST LONDON ICB</t>
  </si>
  <si>
    <t>NHS WEST YORKSHIRE ICB</t>
  </si>
  <si>
    <t>NHS COVENTRY AND WARWICKSHIRE ICB</t>
  </si>
  <si>
    <t>NHS SURREY HEARTLANDS ICB</t>
  </si>
  <si>
    <t>NHS CHESHIRE AND MERSEYSIDE ICB</t>
  </si>
  <si>
    <t>Number of FLSs in ICB</t>
  </si>
  <si>
    <t>9 without</t>
  </si>
  <si>
    <t>33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</si>
</sst>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D243-D60B-4FFF-88A2-F097908EC53C}">
  <dimension ref="A1:E74"/>
  <sheetViews>
    <sheetView workbookViewId="0">
      <selection activeCell="B1" sqref="B1"/>
    </sheetView>
  </sheetViews>
  <sheetFormatPr defaultRowHeight="14.5" x14ac:dyDescent="0.35"/>
  <cols>
    <col min="1" max="1" width="55" bestFit="1" customWidth="1"/>
    <col min="2" max="2" width="53.26953125" bestFit="1" customWidth="1"/>
    <col min="3" max="3" width="53.26953125" customWidth="1"/>
    <col min="4" max="4" width="13.36328125" customWidth="1"/>
    <col min="6" max="6" width="19.26953125" customWidth="1"/>
  </cols>
  <sheetData>
    <row r="1" spans="1:5" x14ac:dyDescent="0.35">
      <c r="A1" t="s">
        <v>0</v>
      </c>
      <c r="B1" t="s">
        <v>1</v>
      </c>
      <c r="C1" t="s">
        <v>125</v>
      </c>
      <c r="D1" t="s">
        <v>134</v>
      </c>
      <c r="E1" t="s">
        <v>126</v>
      </c>
    </row>
    <row r="2" spans="1:5" x14ac:dyDescent="0.35">
      <c r="A2" t="s">
        <v>2</v>
      </c>
      <c r="B2" t="s">
        <v>2</v>
      </c>
      <c r="C2" t="str">
        <f>UPPER(B2)</f>
        <v>AIREDALE NHS FOUNDATION TRUST</v>
      </c>
      <c r="D2" t="s">
        <v>142</v>
      </c>
      <c r="E2" t="s">
        <v>143</v>
      </c>
    </row>
    <row r="3" spans="1:5" x14ac:dyDescent="0.35">
      <c r="A3" t="s">
        <v>3</v>
      </c>
      <c r="B3" t="s">
        <v>4</v>
      </c>
      <c r="C3" t="str">
        <f t="shared" ref="C3:C66" si="0">UPPER(B3)</f>
        <v>ASHFORD AND ST PETER’S HOSPITALS NHS FOUNDATION TRUST</v>
      </c>
      <c r="D3" t="s">
        <v>135</v>
      </c>
      <c r="E3" t="s">
        <v>127</v>
      </c>
    </row>
    <row r="4" spans="1:5" x14ac:dyDescent="0.35">
      <c r="A4" t="s">
        <v>5</v>
      </c>
      <c r="B4" t="s">
        <v>6</v>
      </c>
      <c r="C4" t="str">
        <f t="shared" si="0"/>
        <v>BARKING, HAVERING AND REDBRIDGE UNIVERSITY HOSPITALS NHS TRUST</v>
      </c>
      <c r="D4" t="s">
        <v>144</v>
      </c>
      <c r="E4" t="s">
        <v>145</v>
      </c>
    </row>
    <row r="5" spans="1:5" x14ac:dyDescent="0.35">
      <c r="A5" t="s">
        <v>7</v>
      </c>
      <c r="B5" t="s">
        <v>8</v>
      </c>
      <c r="C5" t="str">
        <f t="shared" si="0"/>
        <v>ROYAL FREE LONDON NHS FOUNDATION TRUST</v>
      </c>
      <c r="D5" t="s">
        <v>146</v>
      </c>
      <c r="E5" t="s">
        <v>147</v>
      </c>
    </row>
    <row r="6" spans="1:5" x14ac:dyDescent="0.35">
      <c r="A6" t="s">
        <v>9</v>
      </c>
      <c r="B6" t="s">
        <v>10</v>
      </c>
      <c r="C6" t="str">
        <f t="shared" si="0"/>
        <v>MID AND SOUTH ESSEX NHS FOUNDATION TRUST</v>
      </c>
      <c r="D6" t="s">
        <v>148</v>
      </c>
      <c r="E6" t="s">
        <v>149</v>
      </c>
    </row>
    <row r="7" spans="1:5" x14ac:dyDescent="0.35">
      <c r="A7" t="s">
        <v>11</v>
      </c>
      <c r="B7" t="s">
        <v>12</v>
      </c>
      <c r="C7" t="str">
        <f t="shared" si="0"/>
        <v>BEDFORDSHIRE HOSPITALS NHS FOUNDATION TRUST</v>
      </c>
      <c r="D7" t="s">
        <v>150</v>
      </c>
      <c r="E7" t="s">
        <v>151</v>
      </c>
    </row>
    <row r="8" spans="1:5" x14ac:dyDescent="0.35">
      <c r="A8" t="s">
        <v>13</v>
      </c>
      <c r="B8" t="s">
        <v>14</v>
      </c>
      <c r="C8" t="str">
        <f t="shared" si="0"/>
        <v>BRADFORD TEACHING HOSPITALS NHS FOUNDATION TRUST</v>
      </c>
      <c r="D8" t="s">
        <v>152</v>
      </c>
      <c r="E8" t="s">
        <v>143</v>
      </c>
    </row>
    <row r="9" spans="1:5" x14ac:dyDescent="0.35">
      <c r="A9" t="s">
        <v>15</v>
      </c>
      <c r="B9" t="s">
        <v>10</v>
      </c>
      <c r="C9" t="str">
        <f t="shared" si="0"/>
        <v>MID AND SOUTH ESSEX NHS FOUNDATION TRUST</v>
      </c>
      <c r="D9" t="s">
        <v>148</v>
      </c>
      <c r="E9" t="s">
        <v>149</v>
      </c>
    </row>
    <row r="10" spans="1:5" x14ac:dyDescent="0.35">
      <c r="A10" t="s">
        <v>16</v>
      </c>
      <c r="B10" t="s">
        <v>16</v>
      </c>
      <c r="C10" t="str">
        <f t="shared" si="0"/>
        <v>BUCKINGHAMSHIRE HEALTHCARE NHS TRUST</v>
      </c>
      <c r="D10" t="s">
        <v>153</v>
      </c>
      <c r="E10" t="s">
        <v>154</v>
      </c>
    </row>
    <row r="11" spans="1:5" x14ac:dyDescent="0.35">
      <c r="A11" t="s">
        <v>17</v>
      </c>
      <c r="B11" t="s">
        <v>18</v>
      </c>
      <c r="C11" t="str">
        <f t="shared" si="0"/>
        <v>CAMBRIDGE UNIVERSITY HOSPITALS NHS FOUNDATION TRUST</v>
      </c>
      <c r="D11" t="s">
        <v>155</v>
      </c>
      <c r="E11" t="s">
        <v>156</v>
      </c>
    </row>
    <row r="12" spans="1:5" x14ac:dyDescent="0.35">
      <c r="A12" t="s">
        <v>19</v>
      </c>
      <c r="B12" t="s">
        <v>19</v>
      </c>
      <c r="C12" t="str">
        <f t="shared" si="0"/>
        <v>CHELSEA AND WESTMINSTER HOSPITAL NHS FOUNDATION TRUST</v>
      </c>
      <c r="D12" t="s">
        <v>157</v>
      </c>
      <c r="E12" t="s">
        <v>158</v>
      </c>
    </row>
    <row r="13" spans="1:5" x14ac:dyDescent="0.35">
      <c r="A13" t="s">
        <v>20</v>
      </c>
      <c r="B13" t="s">
        <v>21</v>
      </c>
      <c r="C13" t="str">
        <f t="shared" si="0"/>
        <v>CHESTERFIELD ROYAL HOSPITAL NHS FOUNDATION TRUST</v>
      </c>
      <c r="D13" t="s">
        <v>159</v>
      </c>
      <c r="E13" t="s">
        <v>160</v>
      </c>
    </row>
    <row r="14" spans="1:5" x14ac:dyDescent="0.35">
      <c r="A14" t="s">
        <v>22</v>
      </c>
      <c r="B14" t="s">
        <v>23</v>
      </c>
      <c r="C14" t="str">
        <f t="shared" si="0"/>
        <v>CROYDON HEALTH SERVICES NHS TRUST</v>
      </c>
      <c r="D14" t="s">
        <v>161</v>
      </c>
      <c r="E14" t="s">
        <v>129</v>
      </c>
    </row>
    <row r="15" spans="1:5" x14ac:dyDescent="0.35">
      <c r="A15" t="s">
        <v>24</v>
      </c>
      <c r="B15" t="s">
        <v>25</v>
      </c>
      <c r="C15" t="str">
        <f t="shared" si="0"/>
        <v>NORTHERN LINCOLNSHIRE AND GOOLE NHS FOUNDATION TRUST</v>
      </c>
      <c r="D15" t="s">
        <v>162</v>
      </c>
      <c r="E15" t="s">
        <v>163</v>
      </c>
    </row>
    <row r="16" spans="1:5" x14ac:dyDescent="0.35">
      <c r="A16" t="s">
        <v>26</v>
      </c>
      <c r="B16" t="s">
        <v>27</v>
      </c>
      <c r="C16" t="str">
        <f t="shared" si="0"/>
        <v>DORSET COUNTY HOSPITAL NHS FOUNDATION TRUST</v>
      </c>
      <c r="D16" t="s">
        <v>164</v>
      </c>
      <c r="E16" t="s">
        <v>165</v>
      </c>
    </row>
    <row r="17" spans="1:5" x14ac:dyDescent="0.35">
      <c r="A17" t="s">
        <v>28</v>
      </c>
      <c r="B17" t="s">
        <v>29</v>
      </c>
      <c r="C17" t="str">
        <f t="shared" si="0"/>
        <v>WEST LONDON NHS TRUST</v>
      </c>
      <c r="D17" t="s">
        <v>166</v>
      </c>
      <c r="E17" t="s">
        <v>158</v>
      </c>
    </row>
    <row r="18" spans="1:5" x14ac:dyDescent="0.35">
      <c r="A18" t="s">
        <v>30</v>
      </c>
      <c r="B18" t="s">
        <v>30</v>
      </c>
      <c r="C18" t="str">
        <f t="shared" si="0"/>
        <v>EAST KENT HOSPITALS UNIVERSITY NHS FOUNDATION TRUST</v>
      </c>
      <c r="D18" t="s">
        <v>167</v>
      </c>
      <c r="E18" t="s">
        <v>168</v>
      </c>
    </row>
    <row r="19" spans="1:5" x14ac:dyDescent="0.35">
      <c r="A19" t="s">
        <v>31</v>
      </c>
      <c r="B19" t="s">
        <v>31</v>
      </c>
      <c r="C19" t="str">
        <f t="shared" si="0"/>
        <v>EAST LANCASHIRE HOSPITALS NHS TRUST</v>
      </c>
      <c r="D19" t="s">
        <v>169</v>
      </c>
      <c r="E19" t="s">
        <v>170</v>
      </c>
    </row>
    <row r="20" spans="1:5" x14ac:dyDescent="0.35">
      <c r="A20" t="s">
        <v>32</v>
      </c>
      <c r="B20" t="s">
        <v>33</v>
      </c>
      <c r="C20" t="str">
        <f t="shared" si="0"/>
        <v>SURREY AND SUSSEX HEALTHCARE NHS TRUST</v>
      </c>
      <c r="D20" t="s">
        <v>171</v>
      </c>
      <c r="E20" t="s">
        <v>127</v>
      </c>
    </row>
    <row r="21" spans="1:5" x14ac:dyDescent="0.35">
      <c r="A21" t="s">
        <v>34</v>
      </c>
      <c r="B21" t="s">
        <v>35</v>
      </c>
      <c r="C21" t="str">
        <f t="shared" si="0"/>
        <v>EAST SUSSEX HEALTHCARE NHS TRUST</v>
      </c>
      <c r="D21" t="s">
        <v>172</v>
      </c>
      <c r="E21" t="s">
        <v>173</v>
      </c>
    </row>
    <row r="22" spans="1:5" x14ac:dyDescent="0.35">
      <c r="A22" t="s">
        <v>36</v>
      </c>
      <c r="B22" t="s">
        <v>37</v>
      </c>
      <c r="C22" t="str">
        <f t="shared" si="0"/>
        <v>NORTH MIDDLESEX UNIVERSITY HOSPITAL NHS TRUST</v>
      </c>
      <c r="D22" t="s">
        <v>174</v>
      </c>
      <c r="E22" t="s">
        <v>147</v>
      </c>
    </row>
    <row r="23" spans="1:5" x14ac:dyDescent="0.35">
      <c r="A23" t="s">
        <v>38</v>
      </c>
      <c r="B23" t="s">
        <v>39</v>
      </c>
      <c r="C23" t="str">
        <f t="shared" si="0"/>
        <v>EPSOM AND ST HELIER UNIVERSITY HOSPITALS NHS TRUST</v>
      </c>
      <c r="D23" t="s">
        <v>175</v>
      </c>
      <c r="E23" t="s">
        <v>129</v>
      </c>
    </row>
    <row r="24" spans="1:5" x14ac:dyDescent="0.35">
      <c r="A24" t="s">
        <v>40</v>
      </c>
      <c r="B24" t="s">
        <v>41</v>
      </c>
      <c r="C24" t="str">
        <f t="shared" si="0"/>
        <v>GUY’S AND ST THOMAS’ NHS FOUNDATION TRUST</v>
      </c>
      <c r="D24" t="s">
        <v>136</v>
      </c>
      <c r="E24" t="s">
        <v>128</v>
      </c>
    </row>
    <row r="25" spans="1:5" x14ac:dyDescent="0.35">
      <c r="A25" t="s">
        <v>42</v>
      </c>
      <c r="B25" t="s">
        <v>43</v>
      </c>
      <c r="C25" t="str">
        <f t="shared" si="0"/>
        <v>HULL UNIVERSITY TEACHING HOSPITALS NHS TRUST</v>
      </c>
      <c r="D25" t="s">
        <v>176</v>
      </c>
      <c r="E25" t="s">
        <v>163</v>
      </c>
    </row>
    <row r="26" spans="1:5" x14ac:dyDescent="0.35">
      <c r="A26" t="s">
        <v>44</v>
      </c>
      <c r="B26" t="s">
        <v>44</v>
      </c>
      <c r="C26" t="str">
        <f t="shared" si="0"/>
        <v>IMPERIAL COLLEGE HEALTHCARE NHS TRUST</v>
      </c>
      <c r="D26" t="s">
        <v>177</v>
      </c>
      <c r="E26" t="s">
        <v>158</v>
      </c>
    </row>
    <row r="27" spans="1:5" x14ac:dyDescent="0.35">
      <c r="A27" t="s">
        <v>45</v>
      </c>
      <c r="B27" t="s">
        <v>46</v>
      </c>
      <c r="C27" t="str">
        <f t="shared" si="0"/>
        <v>SOUTH TEES HOSPITALS NHS FOUNDATION TRUST</v>
      </c>
      <c r="D27" t="s">
        <v>178</v>
      </c>
      <c r="E27" t="s">
        <v>179</v>
      </c>
    </row>
    <row r="28" spans="1:5" x14ac:dyDescent="0.35">
      <c r="A28" t="s">
        <v>47</v>
      </c>
      <c r="B28" t="s">
        <v>48</v>
      </c>
      <c r="C28" t="str">
        <f t="shared" si="0"/>
        <v>JAMES PAGET UNIVERSITY HOSPITALS NHS FOUNDATION TRUST</v>
      </c>
      <c r="D28" t="s">
        <v>180</v>
      </c>
      <c r="E28" t="s">
        <v>130</v>
      </c>
    </row>
    <row r="29" spans="1:5" x14ac:dyDescent="0.35">
      <c r="A29" t="s">
        <v>49</v>
      </c>
      <c r="B29" t="s">
        <v>50</v>
      </c>
      <c r="C29" t="str">
        <f t="shared" si="0"/>
        <v>KING’S COLLEGE HOSPITAL NHS FOUNDATION TRUST</v>
      </c>
      <c r="D29" t="s">
        <v>137</v>
      </c>
      <c r="E29" t="s">
        <v>128</v>
      </c>
    </row>
    <row r="30" spans="1:5" x14ac:dyDescent="0.35">
      <c r="A30" t="s">
        <v>51</v>
      </c>
      <c r="B30" t="s">
        <v>51</v>
      </c>
      <c r="C30" t="str">
        <f t="shared" si="0"/>
        <v>MEDWAY NHS FOUNDATION TRUST</v>
      </c>
      <c r="D30" t="s">
        <v>181</v>
      </c>
      <c r="E30" t="s">
        <v>168</v>
      </c>
    </row>
    <row r="31" spans="1:5" x14ac:dyDescent="0.35">
      <c r="A31" t="s">
        <v>52</v>
      </c>
      <c r="B31" t="s">
        <v>53</v>
      </c>
      <c r="C31" t="str">
        <f t="shared" si="0"/>
        <v>MILTON KEYNES UNIVERSITY HOSPITAL NHS FOUNDATION TRUST</v>
      </c>
      <c r="D31" t="s">
        <v>182</v>
      </c>
      <c r="E31" t="s">
        <v>151</v>
      </c>
    </row>
    <row r="32" spans="1:5" x14ac:dyDescent="0.35">
      <c r="A32" t="s">
        <v>54</v>
      </c>
      <c r="B32" t="s">
        <v>55</v>
      </c>
      <c r="C32" t="str">
        <f t="shared" si="0"/>
        <v>SOMERSET NHS FOUNDATION TRUST</v>
      </c>
      <c r="D32" t="s">
        <v>183</v>
      </c>
      <c r="E32" t="s">
        <v>184</v>
      </c>
    </row>
    <row r="33" spans="1:5" x14ac:dyDescent="0.35">
      <c r="A33" t="s">
        <v>56</v>
      </c>
      <c r="B33" t="s">
        <v>56</v>
      </c>
      <c r="C33" t="str">
        <f t="shared" si="0"/>
        <v>NORTH BRISTOL NHS TRUST</v>
      </c>
      <c r="D33" t="s">
        <v>185</v>
      </c>
      <c r="E33" t="s">
        <v>186</v>
      </c>
    </row>
    <row r="34" spans="1:5" x14ac:dyDescent="0.35">
      <c r="A34" t="s">
        <v>57</v>
      </c>
      <c r="B34" t="s">
        <v>57</v>
      </c>
      <c r="C34" t="str">
        <f t="shared" si="0"/>
        <v>NORTH TEES AND HARTLEPOOL NHS FOUNDATION TRUST</v>
      </c>
      <c r="D34" t="s">
        <v>187</v>
      </c>
      <c r="E34" t="s">
        <v>179</v>
      </c>
    </row>
    <row r="35" spans="1:5" x14ac:dyDescent="0.35">
      <c r="A35" t="s">
        <v>58</v>
      </c>
      <c r="B35" t="s">
        <v>58</v>
      </c>
      <c r="C35" t="str">
        <f t="shared" si="0"/>
        <v>NORTH WEST ANGLIA NHS FOUNDATION TRUST</v>
      </c>
      <c r="D35" t="s">
        <v>188</v>
      </c>
      <c r="E35" t="s">
        <v>156</v>
      </c>
    </row>
    <row r="36" spans="1:5" x14ac:dyDescent="0.35">
      <c r="A36" t="s">
        <v>59</v>
      </c>
      <c r="B36" t="s">
        <v>60</v>
      </c>
      <c r="C36" t="str">
        <f t="shared" si="0"/>
        <v>NORTHERN CARE ALLIANCE NHS FOUNDATION TRUST</v>
      </c>
      <c r="D36" t="s">
        <v>189</v>
      </c>
      <c r="E36" t="s">
        <v>132</v>
      </c>
    </row>
    <row r="37" spans="1:5" x14ac:dyDescent="0.35">
      <c r="A37" t="s">
        <v>61</v>
      </c>
      <c r="B37" t="s">
        <v>62</v>
      </c>
      <c r="C37" t="str">
        <f t="shared" si="0"/>
        <v>LONDON NORTH WEST UNIVERSITY HEALTHCARE NHS TRUST</v>
      </c>
      <c r="D37" t="s">
        <v>190</v>
      </c>
      <c r="E37" t="s">
        <v>158</v>
      </c>
    </row>
    <row r="38" spans="1:5" x14ac:dyDescent="0.35">
      <c r="A38" t="s">
        <v>63</v>
      </c>
      <c r="B38" t="s">
        <v>64</v>
      </c>
      <c r="C38" t="str">
        <f t="shared" si="0"/>
        <v>NOTTINGHAM UNIVERSITY HOSPITALS NHS TRUST</v>
      </c>
      <c r="D38" t="s">
        <v>191</v>
      </c>
      <c r="E38" t="s">
        <v>192</v>
      </c>
    </row>
    <row r="39" spans="1:5" x14ac:dyDescent="0.35">
      <c r="A39" t="s">
        <v>65</v>
      </c>
      <c r="B39" t="s">
        <v>66</v>
      </c>
      <c r="C39" t="str">
        <f t="shared" si="0"/>
        <v>OXFORD UNIVERSITY HOSPITALS NHS FOUNDATION TRUST</v>
      </c>
      <c r="D39" t="s">
        <v>193</v>
      </c>
      <c r="E39" t="s">
        <v>154</v>
      </c>
    </row>
    <row r="40" spans="1:5" x14ac:dyDescent="0.35">
      <c r="A40" t="s">
        <v>67</v>
      </c>
      <c r="B40" t="s">
        <v>68</v>
      </c>
      <c r="C40" t="str">
        <f t="shared" si="0"/>
        <v>PENNINE CARE NHS FOUNDATION TRUST</v>
      </c>
      <c r="D40" t="s">
        <v>194</v>
      </c>
      <c r="E40" t="s">
        <v>132</v>
      </c>
    </row>
    <row r="41" spans="1:5" x14ac:dyDescent="0.35">
      <c r="A41" t="s">
        <v>69</v>
      </c>
      <c r="B41" t="s">
        <v>70</v>
      </c>
      <c r="C41" t="str">
        <f t="shared" si="0"/>
        <v>UNIVERSITY HOSPITALS DORSET NHS FOUNDATION TRUST</v>
      </c>
      <c r="D41" t="s">
        <v>195</v>
      </c>
      <c r="E41" t="s">
        <v>165</v>
      </c>
    </row>
    <row r="42" spans="1:5" x14ac:dyDescent="0.35">
      <c r="A42" t="s">
        <v>71</v>
      </c>
      <c r="B42" t="s">
        <v>72</v>
      </c>
      <c r="C42" t="str">
        <f t="shared" si="0"/>
        <v>PORTSMOUTH HOSPITALS UNIVERSITY NHS TRUST</v>
      </c>
      <c r="D42" t="s">
        <v>196</v>
      </c>
      <c r="E42" t="s">
        <v>197</v>
      </c>
    </row>
    <row r="43" spans="1:5" x14ac:dyDescent="0.35">
      <c r="A43" t="s">
        <v>73</v>
      </c>
      <c r="B43" t="s">
        <v>74</v>
      </c>
      <c r="C43" t="str">
        <f t="shared" si="0"/>
        <v>LEWISHAM AND GREENWICH NHS TRUST</v>
      </c>
      <c r="D43" t="s">
        <v>198</v>
      </c>
      <c r="E43" t="s">
        <v>128</v>
      </c>
    </row>
    <row r="44" spans="1:5" x14ac:dyDescent="0.35">
      <c r="A44" t="s">
        <v>75</v>
      </c>
      <c r="B44" t="s">
        <v>76</v>
      </c>
      <c r="C44" t="str">
        <f t="shared" si="0"/>
        <v>ROYAL BERKSHIRE NHS FOUNDATION TRUST</v>
      </c>
      <c r="D44" t="s">
        <v>199</v>
      </c>
      <c r="E44" t="s">
        <v>154</v>
      </c>
    </row>
    <row r="45" spans="1:5" x14ac:dyDescent="0.35">
      <c r="A45" t="s">
        <v>77</v>
      </c>
      <c r="B45" t="s">
        <v>78</v>
      </c>
      <c r="C45" t="str">
        <f t="shared" si="0"/>
        <v>ROYAL CORNWALL HOSPITALS NHS TRUST</v>
      </c>
      <c r="D45" t="s">
        <v>200</v>
      </c>
      <c r="E45" t="s">
        <v>201</v>
      </c>
    </row>
    <row r="46" spans="1:5" x14ac:dyDescent="0.35">
      <c r="A46" t="s">
        <v>79</v>
      </c>
      <c r="B46" t="s">
        <v>80</v>
      </c>
      <c r="C46" t="str">
        <f t="shared" si="0"/>
        <v>UNIVERSITY HOSPITALS OF DERBY AND BURTON NHS FOUNDATION TRUST</v>
      </c>
      <c r="D46" t="s">
        <v>202</v>
      </c>
      <c r="E46" t="s">
        <v>160</v>
      </c>
    </row>
    <row r="47" spans="1:5" x14ac:dyDescent="0.35">
      <c r="A47" t="s">
        <v>81</v>
      </c>
      <c r="B47" t="s">
        <v>82</v>
      </c>
      <c r="C47" t="str">
        <f t="shared" si="0"/>
        <v>ROYAL SURREY NHS FOUNDATION TRUST</v>
      </c>
      <c r="D47" t="s">
        <v>203</v>
      </c>
      <c r="E47" t="s">
        <v>127</v>
      </c>
    </row>
    <row r="48" spans="1:5" x14ac:dyDescent="0.35">
      <c r="A48" t="s">
        <v>83</v>
      </c>
      <c r="B48" t="s">
        <v>84</v>
      </c>
      <c r="C48" t="str">
        <f t="shared" si="0"/>
        <v>ROYAL UNITED HOSPITALS BATH NHS FOUNDATION TRUST</v>
      </c>
      <c r="D48" t="s">
        <v>204</v>
      </c>
      <c r="E48" t="s">
        <v>205</v>
      </c>
    </row>
    <row r="49" spans="1:5" x14ac:dyDescent="0.35">
      <c r="A49" t="s">
        <v>85</v>
      </c>
      <c r="B49" t="s">
        <v>86</v>
      </c>
      <c r="C49" t="str">
        <f t="shared" si="0"/>
        <v>THE ROYAL WOLVERHAMPTON NHS TRUST</v>
      </c>
      <c r="D49" t="s">
        <v>206</v>
      </c>
      <c r="E49" t="s">
        <v>207</v>
      </c>
    </row>
    <row r="50" spans="1:5" x14ac:dyDescent="0.35">
      <c r="A50" t="s">
        <v>87</v>
      </c>
      <c r="B50" t="s">
        <v>60</v>
      </c>
      <c r="C50" t="str">
        <f t="shared" si="0"/>
        <v>NORTHERN CARE ALLIANCE NHS FOUNDATION TRUST</v>
      </c>
      <c r="D50" t="s">
        <v>189</v>
      </c>
      <c r="E50" t="s">
        <v>132</v>
      </c>
    </row>
    <row r="51" spans="1:5" x14ac:dyDescent="0.35">
      <c r="A51" t="s">
        <v>88</v>
      </c>
      <c r="B51" t="s">
        <v>89</v>
      </c>
      <c r="C51" t="str">
        <f t="shared" si="0"/>
        <v>SHERWOOD FOREST HOSPITALS NHS FOUNDATION TRUST</v>
      </c>
      <c r="D51" t="s">
        <v>208</v>
      </c>
      <c r="E51" t="s">
        <v>192</v>
      </c>
    </row>
    <row r="52" spans="1:5" x14ac:dyDescent="0.35">
      <c r="A52" t="s">
        <v>90</v>
      </c>
      <c r="B52" t="s">
        <v>90</v>
      </c>
      <c r="C52" t="str">
        <f t="shared" si="0"/>
        <v>SHREWSBURY AND TELFORD HOSPITAL NHS TRUST</v>
      </c>
      <c r="D52" t="s">
        <v>140</v>
      </c>
      <c r="E52" t="s">
        <v>131</v>
      </c>
    </row>
    <row r="53" spans="1:5" x14ac:dyDescent="0.35">
      <c r="A53" t="s">
        <v>91</v>
      </c>
      <c r="B53" t="s">
        <v>10</v>
      </c>
      <c r="C53" t="str">
        <f t="shared" si="0"/>
        <v>MID AND SOUTH ESSEX NHS FOUNDATION TRUST</v>
      </c>
      <c r="D53" t="s">
        <v>148</v>
      </c>
      <c r="E53" t="s">
        <v>149</v>
      </c>
    </row>
    <row r="54" spans="1:5" x14ac:dyDescent="0.35">
      <c r="A54" t="s">
        <v>92</v>
      </c>
      <c r="B54" t="s">
        <v>93</v>
      </c>
      <c r="C54" t="str">
        <f t="shared" si="0"/>
        <v>ST GEORGE’S UNIVERSITY HOSPITALS NHS FOUNDATION TRUST</v>
      </c>
      <c r="D54" t="s">
        <v>138</v>
      </c>
      <c r="E54" t="s">
        <v>129</v>
      </c>
    </row>
    <row r="55" spans="1:5" x14ac:dyDescent="0.35">
      <c r="A55" t="s">
        <v>94</v>
      </c>
      <c r="B55" t="s">
        <v>95</v>
      </c>
      <c r="C55" t="str">
        <f t="shared" si="0"/>
        <v>STOCKPORT NHS FOUNDATION TRUST</v>
      </c>
      <c r="D55" t="s">
        <v>209</v>
      </c>
      <c r="E55" t="s">
        <v>132</v>
      </c>
    </row>
    <row r="56" spans="1:5" x14ac:dyDescent="0.35">
      <c r="A56" t="s">
        <v>96</v>
      </c>
      <c r="B56" t="s">
        <v>97</v>
      </c>
      <c r="C56" t="str">
        <f t="shared" si="0"/>
        <v>SOUTH TYNESIDE AND SUNDERLAND NHS FOUNDATION TRUST</v>
      </c>
      <c r="D56" t="s">
        <v>210</v>
      </c>
      <c r="E56" t="s">
        <v>179</v>
      </c>
    </row>
    <row r="57" spans="1:5" x14ac:dyDescent="0.35">
      <c r="A57" t="s">
        <v>98</v>
      </c>
      <c r="B57" t="s">
        <v>99</v>
      </c>
      <c r="C57" t="str">
        <f t="shared" si="0"/>
        <v>MIDLANDS PARTNERSHIP UNIVERSITY NHS FOUNDATION TRUST</v>
      </c>
      <c r="D57" t="s">
        <v>211</v>
      </c>
      <c r="E57" t="s">
        <v>212</v>
      </c>
    </row>
    <row r="58" spans="1:5" x14ac:dyDescent="0.35">
      <c r="A58" t="s">
        <v>100</v>
      </c>
      <c r="B58" t="s">
        <v>100</v>
      </c>
      <c r="C58" t="str">
        <f t="shared" si="0"/>
        <v>THE HILLINGDON HOSPITALS NHS FOUNDATION TRUST</v>
      </c>
      <c r="D58" t="s">
        <v>213</v>
      </c>
      <c r="E58" t="s">
        <v>158</v>
      </c>
    </row>
    <row r="59" spans="1:5" x14ac:dyDescent="0.35">
      <c r="A59" t="s">
        <v>101</v>
      </c>
      <c r="B59" t="s">
        <v>102</v>
      </c>
      <c r="C59" t="str">
        <f t="shared" si="0"/>
        <v>EAST SUFFOLK AND NORTH ESSEX NHS FOUNDATION TRUST</v>
      </c>
      <c r="D59" t="s">
        <v>214</v>
      </c>
      <c r="E59" t="s">
        <v>215</v>
      </c>
    </row>
    <row r="60" spans="1:5" x14ac:dyDescent="0.35">
      <c r="A60" t="s">
        <v>103</v>
      </c>
      <c r="B60" t="s">
        <v>104</v>
      </c>
      <c r="C60" t="str">
        <f t="shared" si="0"/>
        <v>NORTHUMBRIA HEALTHCARE NHS FOUNDATION TRUST</v>
      </c>
      <c r="D60" t="s">
        <v>216</v>
      </c>
      <c r="E60" t="s">
        <v>179</v>
      </c>
    </row>
    <row r="61" spans="1:5" x14ac:dyDescent="0.35">
      <c r="A61" t="s">
        <v>105</v>
      </c>
      <c r="B61" t="s">
        <v>106</v>
      </c>
      <c r="C61" t="str">
        <f t="shared" si="0"/>
        <v>THE QUEEN ELIZABETH HOSPITAL, KING’S LYNN, NHS FOUNDATION TRUST</v>
      </c>
      <c r="D61" t="s">
        <v>139</v>
      </c>
      <c r="E61" t="s">
        <v>130</v>
      </c>
    </row>
    <row r="62" spans="1:5" x14ac:dyDescent="0.35">
      <c r="A62" t="s">
        <v>107</v>
      </c>
      <c r="B62" t="s">
        <v>107</v>
      </c>
      <c r="C62" t="str">
        <f t="shared" si="0"/>
        <v>THE ROTHERHAM NHS FOUNDATION TRUST</v>
      </c>
      <c r="D62" t="s">
        <v>217</v>
      </c>
      <c r="E62" t="s">
        <v>218</v>
      </c>
    </row>
    <row r="63" spans="1:5" x14ac:dyDescent="0.35">
      <c r="A63" t="s">
        <v>108</v>
      </c>
      <c r="B63" t="s">
        <v>74</v>
      </c>
      <c r="C63" t="str">
        <f t="shared" si="0"/>
        <v>LEWISHAM AND GREENWICH NHS TRUST</v>
      </c>
      <c r="D63" t="s">
        <v>198</v>
      </c>
      <c r="E63" t="s">
        <v>128</v>
      </c>
    </row>
    <row r="64" spans="1:5" x14ac:dyDescent="0.35">
      <c r="A64" t="s">
        <v>109</v>
      </c>
      <c r="B64" t="s">
        <v>110</v>
      </c>
      <c r="C64" t="str">
        <f t="shared" si="0"/>
        <v>COUNTY DURHAM AND DARLINGTON NHS FOUNDATION TRUST</v>
      </c>
      <c r="D64" t="s">
        <v>219</v>
      </c>
      <c r="E64" t="s">
        <v>179</v>
      </c>
    </row>
    <row r="65" spans="1:5" x14ac:dyDescent="0.35">
      <c r="A65" t="s">
        <v>111</v>
      </c>
      <c r="B65" t="s">
        <v>111</v>
      </c>
      <c r="C65" t="str">
        <f t="shared" si="0"/>
        <v>UNIVERSITY HOSPITALS BIRMINGHAM NHS FOUNDATION TRUST</v>
      </c>
      <c r="D65" t="s">
        <v>220</v>
      </c>
      <c r="E65" t="s">
        <v>221</v>
      </c>
    </row>
    <row r="66" spans="1:5" x14ac:dyDescent="0.35">
      <c r="A66" t="s">
        <v>112</v>
      </c>
      <c r="B66" t="s">
        <v>113</v>
      </c>
      <c r="C66" t="str">
        <f t="shared" si="0"/>
        <v>UNIVERSITY HOSPITALS BRISTOL AND WESTON NHS FOUNDATION TRUST</v>
      </c>
      <c r="D66" t="s">
        <v>222</v>
      </c>
      <c r="E66" t="s">
        <v>186</v>
      </c>
    </row>
    <row r="67" spans="1:5" x14ac:dyDescent="0.35">
      <c r="A67" t="s">
        <v>114</v>
      </c>
      <c r="B67" t="s">
        <v>115</v>
      </c>
      <c r="C67" t="str">
        <f t="shared" ref="C67:C74" si="1">UPPER(B67)</f>
        <v>UNIVERSITY HOSPITAL SOUTHAMPTON NHS FOUNDATION TRUST</v>
      </c>
      <c r="D67" t="s">
        <v>223</v>
      </c>
      <c r="E67" t="s">
        <v>197</v>
      </c>
    </row>
    <row r="68" spans="1:5" x14ac:dyDescent="0.35">
      <c r="A68" t="s">
        <v>116</v>
      </c>
      <c r="B68" t="s">
        <v>117</v>
      </c>
      <c r="C68" t="str">
        <f t="shared" si="1"/>
        <v>WALSALL HEALTHCARE NHS TRUST</v>
      </c>
      <c r="D68" t="s">
        <v>224</v>
      </c>
      <c r="E68" t="s">
        <v>207</v>
      </c>
    </row>
    <row r="69" spans="1:5" x14ac:dyDescent="0.35">
      <c r="A69" t="s">
        <v>118</v>
      </c>
      <c r="B69" t="s">
        <v>19</v>
      </c>
      <c r="C69" t="str">
        <f t="shared" si="1"/>
        <v>CHELSEA AND WESTMINSTER HOSPITAL NHS FOUNDATION TRUST</v>
      </c>
      <c r="D69" t="s">
        <v>157</v>
      </c>
      <c r="E69" t="s">
        <v>158</v>
      </c>
    </row>
    <row r="70" spans="1:5" x14ac:dyDescent="0.35">
      <c r="A70" t="s">
        <v>119</v>
      </c>
      <c r="B70" t="s">
        <v>119</v>
      </c>
      <c r="C70" t="str">
        <f t="shared" si="1"/>
        <v>WEST SUFFOLK NHS FOUNDATION TRUST</v>
      </c>
      <c r="D70" t="s">
        <v>225</v>
      </c>
      <c r="E70" t="s">
        <v>215</v>
      </c>
    </row>
    <row r="71" spans="1:5" x14ac:dyDescent="0.35">
      <c r="A71" t="s">
        <v>120</v>
      </c>
      <c r="B71" t="s">
        <v>113</v>
      </c>
      <c r="C71" t="str">
        <f t="shared" si="1"/>
        <v>UNIVERSITY HOSPITALS BRISTOL AND WESTON NHS FOUNDATION TRUST</v>
      </c>
      <c r="D71" t="s">
        <v>222</v>
      </c>
      <c r="E71" t="s">
        <v>186</v>
      </c>
    </row>
    <row r="72" spans="1:5" x14ac:dyDescent="0.35">
      <c r="A72" t="s">
        <v>121</v>
      </c>
      <c r="B72" t="s">
        <v>122</v>
      </c>
      <c r="C72" t="str">
        <f t="shared" si="1"/>
        <v>WRIGHTINGTON, WIGAN AND LEIGH NHS FOUNDATION TRUST</v>
      </c>
      <c r="D72" t="s">
        <v>141</v>
      </c>
      <c r="E72" t="s">
        <v>132</v>
      </c>
    </row>
    <row r="73" spans="1:5" x14ac:dyDescent="0.35">
      <c r="A73" t="s">
        <v>123</v>
      </c>
      <c r="B73" t="s">
        <v>123</v>
      </c>
      <c r="C73" t="str">
        <f t="shared" si="1"/>
        <v>WYE VALLEY NHS TRUST</v>
      </c>
      <c r="D73" t="s">
        <v>226</v>
      </c>
      <c r="E73" t="s">
        <v>227</v>
      </c>
    </row>
    <row r="74" spans="1:5" x14ac:dyDescent="0.35">
      <c r="A74" t="s">
        <v>124</v>
      </c>
      <c r="B74" t="s">
        <v>55</v>
      </c>
      <c r="C74" t="str">
        <f t="shared" si="1"/>
        <v>SOMERSET NHS FOUNDATION TRUST</v>
      </c>
      <c r="D74" t="s">
        <v>183</v>
      </c>
      <c r="E74" t="s">
        <v>184</v>
      </c>
    </row>
  </sheetData>
  <autoFilter ref="A1:E74" xr:uid="{9D5CD243-D60B-4FFF-88A2-F097908EC53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08BF-3817-42CA-AA0F-4B79ED2F35B8}">
  <dimension ref="A1:H43"/>
  <sheetViews>
    <sheetView tabSelected="1" workbookViewId="0"/>
  </sheetViews>
  <sheetFormatPr defaultRowHeight="14.5" x14ac:dyDescent="0.35"/>
  <cols>
    <col min="2" max="2" width="59.453125" bestFit="1" customWidth="1"/>
    <col min="3" max="3" width="20.81640625" bestFit="1" customWidth="1"/>
  </cols>
  <sheetData>
    <row r="1" spans="1:8" x14ac:dyDescent="0.35">
      <c r="A1" t="s">
        <v>228</v>
      </c>
      <c r="B1" t="s">
        <v>133</v>
      </c>
      <c r="C1" t="s">
        <v>280</v>
      </c>
      <c r="G1" t="s">
        <v>282</v>
      </c>
      <c r="H1" t="s">
        <v>281</v>
      </c>
    </row>
    <row r="2" spans="1:8" x14ac:dyDescent="0.35">
      <c r="A2" t="s">
        <v>170</v>
      </c>
      <c r="B2" t="s">
        <v>239</v>
      </c>
      <c r="C2">
        <f>COUNTIF(FLS_List_2024!E:E,'ICB lookup'!A2)</f>
        <v>1</v>
      </c>
    </row>
    <row r="3" spans="1:8" x14ac:dyDescent="0.35">
      <c r="A3" t="s">
        <v>218</v>
      </c>
      <c r="B3" t="s">
        <v>240</v>
      </c>
      <c r="C3">
        <f>COUNTIF(FLS_List_2024!E:E,'ICB lookup'!A3)</f>
        <v>1</v>
      </c>
    </row>
    <row r="4" spans="1:8" x14ac:dyDescent="0.35">
      <c r="A4" t="s">
        <v>227</v>
      </c>
      <c r="B4" t="s">
        <v>241</v>
      </c>
      <c r="C4">
        <f>COUNTIF(FLS_List_2024!E:E,'ICB lookup'!A4)</f>
        <v>1</v>
      </c>
    </row>
    <row r="5" spans="1:8" x14ac:dyDescent="0.35">
      <c r="A5" t="s">
        <v>149</v>
      </c>
      <c r="B5" t="s">
        <v>242</v>
      </c>
      <c r="C5">
        <f>COUNTIF(FLS_List_2024!E:E,'ICB lookup'!A5)</f>
        <v>3</v>
      </c>
    </row>
    <row r="6" spans="1:8" x14ac:dyDescent="0.35">
      <c r="A6" t="s">
        <v>151</v>
      </c>
      <c r="B6" t="s">
        <v>243</v>
      </c>
      <c r="C6">
        <f>COUNTIF(FLS_List_2024!E:E,'ICB lookup'!A6)</f>
        <v>2</v>
      </c>
    </row>
    <row r="7" spans="1:8" x14ac:dyDescent="0.35">
      <c r="A7" t="s">
        <v>221</v>
      </c>
      <c r="B7" t="s">
        <v>244</v>
      </c>
      <c r="C7">
        <f>COUNTIF(FLS_List_2024!E:E,'ICB lookup'!A7)</f>
        <v>1</v>
      </c>
    </row>
    <row r="8" spans="1:8" x14ac:dyDescent="0.35">
      <c r="A8" t="s">
        <v>179</v>
      </c>
      <c r="B8" t="s">
        <v>245</v>
      </c>
      <c r="C8">
        <f>COUNTIF(FLS_List_2024!E:E,'ICB lookup'!A8)</f>
        <v>5</v>
      </c>
    </row>
    <row r="9" spans="1:8" x14ac:dyDescent="0.35">
      <c r="A9" t="s">
        <v>160</v>
      </c>
      <c r="B9" t="s">
        <v>246</v>
      </c>
      <c r="C9">
        <f>COUNTIF(FLS_List_2024!E:E,'ICB lookup'!A9)</f>
        <v>2</v>
      </c>
    </row>
    <row r="10" spans="1:8" x14ac:dyDescent="0.35">
      <c r="A10" t="s">
        <v>215</v>
      </c>
      <c r="B10" t="s">
        <v>247</v>
      </c>
      <c r="C10">
        <f>COUNTIF(FLS_List_2024!E:E,'ICB lookup'!A10)</f>
        <v>2</v>
      </c>
    </row>
    <row r="11" spans="1:8" x14ac:dyDescent="0.35">
      <c r="A11" s="1" t="s">
        <v>233</v>
      </c>
      <c r="B11" s="1" t="s">
        <v>248</v>
      </c>
      <c r="C11" s="1">
        <f>COUNTIF(FLS_List_2024!E:E,'ICB lookup'!A11)</f>
        <v>0</v>
      </c>
    </row>
    <row r="12" spans="1:8" x14ac:dyDescent="0.35">
      <c r="A12" s="1" t="s">
        <v>234</v>
      </c>
      <c r="B12" s="1" t="s">
        <v>249</v>
      </c>
      <c r="C12" s="1">
        <f>COUNTIF(FLS_List_2024!E:E,'ICB lookup'!A12)</f>
        <v>0</v>
      </c>
    </row>
    <row r="13" spans="1:8" x14ac:dyDescent="0.35">
      <c r="A13" s="1" t="s">
        <v>230</v>
      </c>
      <c r="B13" s="1" t="s">
        <v>250</v>
      </c>
      <c r="C13" s="1">
        <f>COUNTIF(FLS_List_2024!E:E,'ICB lookup'!A13)</f>
        <v>0</v>
      </c>
    </row>
    <row r="14" spans="1:8" x14ac:dyDescent="0.35">
      <c r="A14" t="s">
        <v>128</v>
      </c>
      <c r="B14" t="s">
        <v>251</v>
      </c>
      <c r="C14">
        <f>COUNTIF(FLS_List_2024!E:E,'ICB lookup'!A14)</f>
        <v>4</v>
      </c>
    </row>
    <row r="15" spans="1:8" x14ac:dyDescent="0.35">
      <c r="A15" t="s">
        <v>168</v>
      </c>
      <c r="B15" t="s">
        <v>252</v>
      </c>
      <c r="C15">
        <f>COUNTIF(FLS_List_2024!E:E,'ICB lookup'!A15)</f>
        <v>2</v>
      </c>
    </row>
    <row r="16" spans="1:8" x14ac:dyDescent="0.35">
      <c r="A16" s="1" t="s">
        <v>231</v>
      </c>
      <c r="B16" s="1" t="s">
        <v>253</v>
      </c>
      <c r="C16" s="1">
        <f>COUNTIF(FLS_List_2024!E:E,'ICB lookup'!A16)</f>
        <v>0</v>
      </c>
    </row>
    <row r="17" spans="1:3" x14ac:dyDescent="0.35">
      <c r="A17" t="s">
        <v>145</v>
      </c>
      <c r="B17" t="s">
        <v>254</v>
      </c>
      <c r="C17">
        <f>COUNTIF(FLS_List_2024!E:E,'ICB lookup'!A17)</f>
        <v>1</v>
      </c>
    </row>
    <row r="18" spans="1:3" x14ac:dyDescent="0.35">
      <c r="A18" t="s">
        <v>147</v>
      </c>
      <c r="B18" t="s">
        <v>255</v>
      </c>
      <c r="C18">
        <f>COUNTIF(FLS_List_2024!E:E,'ICB lookup'!A18)</f>
        <v>2</v>
      </c>
    </row>
    <row r="19" spans="1:3" x14ac:dyDescent="0.35">
      <c r="A19" t="s">
        <v>130</v>
      </c>
      <c r="B19" t="s">
        <v>256</v>
      </c>
      <c r="C19">
        <f>COUNTIF(FLS_List_2024!E:E,'ICB lookup'!A19)</f>
        <v>2</v>
      </c>
    </row>
    <row r="20" spans="1:3" x14ac:dyDescent="0.35">
      <c r="A20" t="s">
        <v>212</v>
      </c>
      <c r="B20" t="s">
        <v>257</v>
      </c>
      <c r="C20">
        <f>COUNTIF(FLS_List_2024!E:E,'ICB lookup'!A20)</f>
        <v>1</v>
      </c>
    </row>
    <row r="21" spans="1:3" x14ac:dyDescent="0.35">
      <c r="A21" s="1" t="s">
        <v>237</v>
      </c>
      <c r="B21" s="1" t="s">
        <v>258</v>
      </c>
      <c r="C21" s="1">
        <f>COUNTIF(FLS_List_2024!E:E,'ICB lookup'!A21)</f>
        <v>0</v>
      </c>
    </row>
    <row r="22" spans="1:3" x14ac:dyDescent="0.35">
      <c r="A22" t="s">
        <v>173</v>
      </c>
      <c r="B22" t="s">
        <v>259</v>
      </c>
      <c r="C22">
        <f>COUNTIF(FLS_List_2024!E:E,'ICB lookup'!A22)</f>
        <v>1</v>
      </c>
    </row>
    <row r="23" spans="1:3" x14ac:dyDescent="0.35">
      <c r="A23" t="s">
        <v>131</v>
      </c>
      <c r="B23" t="s">
        <v>260</v>
      </c>
      <c r="C23">
        <f>COUNTIF(FLS_List_2024!E:E,'ICB lookup'!A23)</f>
        <v>1</v>
      </c>
    </row>
    <row r="24" spans="1:3" x14ac:dyDescent="0.35">
      <c r="A24" t="s">
        <v>132</v>
      </c>
      <c r="B24" t="s">
        <v>261</v>
      </c>
      <c r="C24">
        <f>COUNTIF(FLS_List_2024!E:E,'ICB lookup'!A24)</f>
        <v>5</v>
      </c>
    </row>
    <row r="25" spans="1:3" x14ac:dyDescent="0.35">
      <c r="A25" t="s">
        <v>163</v>
      </c>
      <c r="B25" t="s">
        <v>262</v>
      </c>
      <c r="C25">
        <f>COUNTIF(FLS_List_2024!E:E,'ICB lookup'!A25)</f>
        <v>2</v>
      </c>
    </row>
    <row r="26" spans="1:3" x14ac:dyDescent="0.35">
      <c r="A26" t="s">
        <v>205</v>
      </c>
      <c r="B26" t="s">
        <v>263</v>
      </c>
      <c r="C26">
        <f>COUNTIF(FLS_List_2024!E:E,'ICB lookup'!A26)</f>
        <v>1</v>
      </c>
    </row>
    <row r="27" spans="1:3" x14ac:dyDescent="0.35">
      <c r="A27" s="1" t="s">
        <v>235</v>
      </c>
      <c r="B27" s="1" t="s">
        <v>264</v>
      </c>
      <c r="C27" s="1">
        <f>COUNTIF(FLS_List_2024!E:E,'ICB lookup'!A27)</f>
        <v>0</v>
      </c>
    </row>
    <row r="28" spans="1:3" x14ac:dyDescent="0.35">
      <c r="A28" s="1" t="s">
        <v>232</v>
      </c>
      <c r="B28" s="1" t="s">
        <v>265</v>
      </c>
      <c r="C28" s="1">
        <f>COUNTIF(FLS_List_2024!E:E,'ICB lookup'!A28)</f>
        <v>0</v>
      </c>
    </row>
    <row r="29" spans="1:3" x14ac:dyDescent="0.35">
      <c r="A29" t="s">
        <v>197</v>
      </c>
      <c r="B29" t="s">
        <v>266</v>
      </c>
      <c r="C29">
        <f>COUNTIF(FLS_List_2024!E:E,'ICB lookup'!A29)</f>
        <v>2</v>
      </c>
    </row>
    <row r="30" spans="1:3" x14ac:dyDescent="0.35">
      <c r="A30" t="s">
        <v>158</v>
      </c>
      <c r="B30" t="s">
        <v>238</v>
      </c>
      <c r="C30">
        <f>COUNTIF(FLS_List_2024!E:E,'ICB lookup'!A30)</f>
        <v>6</v>
      </c>
    </row>
    <row r="31" spans="1:3" x14ac:dyDescent="0.35">
      <c r="A31" t="s">
        <v>184</v>
      </c>
      <c r="B31" t="s">
        <v>267</v>
      </c>
      <c r="C31">
        <f>COUNTIF(FLS_List_2024!E:E,'ICB lookup'!A31)</f>
        <v>2</v>
      </c>
    </row>
    <row r="32" spans="1:3" x14ac:dyDescent="0.35">
      <c r="A32" t="s">
        <v>192</v>
      </c>
      <c r="B32" t="s">
        <v>268</v>
      </c>
      <c r="C32">
        <f>COUNTIF(FLS_List_2024!E:E,'ICB lookup'!A32)</f>
        <v>2</v>
      </c>
    </row>
    <row r="33" spans="1:3" x14ac:dyDescent="0.35">
      <c r="A33" t="s">
        <v>201</v>
      </c>
      <c r="B33" t="s">
        <v>269</v>
      </c>
      <c r="C33">
        <f>COUNTIF(FLS_List_2024!E:E,'ICB lookup'!A33)</f>
        <v>1</v>
      </c>
    </row>
    <row r="34" spans="1:3" x14ac:dyDescent="0.35">
      <c r="A34" t="s">
        <v>154</v>
      </c>
      <c r="B34" t="s">
        <v>270</v>
      </c>
      <c r="C34">
        <f>COUNTIF(FLS_List_2024!E:E,'ICB lookup'!A34)</f>
        <v>3</v>
      </c>
    </row>
    <row r="35" spans="1:3" x14ac:dyDescent="0.35">
      <c r="A35" t="s">
        <v>207</v>
      </c>
      <c r="B35" t="s">
        <v>271</v>
      </c>
      <c r="C35">
        <f>COUNTIF(FLS_List_2024!E:E,'ICB lookup'!A35)</f>
        <v>2</v>
      </c>
    </row>
    <row r="36" spans="1:3" x14ac:dyDescent="0.35">
      <c r="A36" t="s">
        <v>156</v>
      </c>
      <c r="B36" t="s">
        <v>272</v>
      </c>
      <c r="C36">
        <f>COUNTIF(FLS_List_2024!E:E,'ICB lookup'!A36)</f>
        <v>2</v>
      </c>
    </row>
    <row r="37" spans="1:3" x14ac:dyDescent="0.35">
      <c r="A37" t="s">
        <v>186</v>
      </c>
      <c r="B37" t="s">
        <v>273</v>
      </c>
      <c r="C37">
        <f>COUNTIF(FLS_List_2024!E:E,'ICB lookup'!A37)</f>
        <v>3</v>
      </c>
    </row>
    <row r="38" spans="1:3" x14ac:dyDescent="0.35">
      <c r="A38" t="s">
        <v>165</v>
      </c>
      <c r="B38" t="s">
        <v>274</v>
      </c>
      <c r="C38">
        <f>COUNTIF(FLS_List_2024!E:E,'ICB lookup'!A38)</f>
        <v>2</v>
      </c>
    </row>
    <row r="39" spans="1:3" x14ac:dyDescent="0.35">
      <c r="A39" t="s">
        <v>129</v>
      </c>
      <c r="B39" t="s">
        <v>275</v>
      </c>
      <c r="C39">
        <f>COUNTIF(FLS_List_2024!E:E,'ICB lookup'!A39)</f>
        <v>3</v>
      </c>
    </row>
    <row r="40" spans="1:3" x14ac:dyDescent="0.35">
      <c r="A40" t="s">
        <v>143</v>
      </c>
      <c r="B40" t="s">
        <v>276</v>
      </c>
      <c r="C40">
        <f>COUNTIF(FLS_List_2024!E:E,'ICB lookup'!A40)</f>
        <v>2</v>
      </c>
    </row>
    <row r="41" spans="1:3" x14ac:dyDescent="0.35">
      <c r="A41" s="1" t="s">
        <v>236</v>
      </c>
      <c r="B41" s="1" t="s">
        <v>277</v>
      </c>
      <c r="C41" s="1">
        <f>COUNTIF(FLS_List_2024!E:E,'ICB lookup'!A41)</f>
        <v>0</v>
      </c>
    </row>
    <row r="42" spans="1:3" x14ac:dyDescent="0.35">
      <c r="A42" t="s">
        <v>127</v>
      </c>
      <c r="B42" t="s">
        <v>278</v>
      </c>
      <c r="C42">
        <f>COUNTIF(FLS_List_2024!E:E,'ICB lookup'!A42)</f>
        <v>3</v>
      </c>
    </row>
    <row r="43" spans="1:3" x14ac:dyDescent="0.35">
      <c r="A43" s="1" t="s">
        <v>229</v>
      </c>
      <c r="B43" s="1" t="s">
        <v>279</v>
      </c>
      <c r="C43" s="1">
        <f>COUNTIF(FLS_List_2024!E:E,'ICB lookup'!A43)</f>
        <v>0</v>
      </c>
    </row>
  </sheetData>
  <autoFilter ref="A1:C43" xr:uid="{D97708BF-3817-42CA-AA0F-4B79ED2F35B8}"/>
  <sortState xmlns:xlrd2="http://schemas.microsoft.com/office/spreadsheetml/2017/richdata2" ref="A2:A1048410">
    <sortCondition ref="A2:A1048410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278c30-91a8-4c31-8c1f-ef4de8973a1c}" enabled="0" method="" siteId="{61278c30-91a8-4c31-8c1f-ef4de8973a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FLS_List_2024</vt:lpstr>
      <vt:lpstr>ICB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Foulger, Anne</dc:creator>
  <cp:lastModifiedBy>Foulger, Anne</cp:lastModifiedBy>
  <dcterms:created xsi:type="dcterms:W3CDTF">2026-04-09T10:08:27Z</dcterms:created>
  <dcterms:modified xsi:type="dcterms:W3CDTF">2026-04-09T10:08:39Z</dcterms:modified>
</cp:coreProperties>
</file>